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71CB024-C8B5-498F-A231-2FF75316FC97}" xr6:coauthVersionLast="47" xr6:coauthVersionMax="47" xr10:uidLastSave="{00000000-0000-0000-0000-000000000000}"/>
  <bookViews>
    <workbookView xWindow="-120" yWindow="-120" windowWidth="29040" windowHeight="15720" tabRatio="500" firstSheet="1" activeTab="6" xr2:uid="{00000000-000D-0000-FFFF-FFFF00000000}"/>
  </bookViews>
  <sheets>
    <sheet name="Sipariş Verisi" sheetId="1" r:id="rId1"/>
    <sheet name="İade Edilen Siparişler" sheetId="10" r:id="rId2"/>
    <sheet name="En Çok Satış Yapılan Şehir" sheetId="14" r:id="rId3"/>
    <sheet name="Kategori Analizi" sheetId="5" r:id="rId4"/>
    <sheet name="Toplam Ciro" sheetId="6" r:id="rId5"/>
    <sheet name="Grafik" sheetId="7" r:id="rId6"/>
    <sheet name="Yorum" sheetId="8" r:id="rId7"/>
  </sheets>
  <definedNames>
    <definedName name="_xlnm._FilterDatabase" localSheetId="0" hidden="1">'Sipariş Verisi'!$A$1:$J$1</definedName>
  </definedNames>
  <calcPr calcId="191029" iterateDelta="1E-4"/>
  <pivotCaches>
    <pivotCache cacheId="15" r:id="rId8"/>
    <pivotCache cacheId="4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14" l="1"/>
  <c r="J10" i="1"/>
  <c r="B5" i="6"/>
  <c r="B4" i="6"/>
  <c r="J2" i="1"/>
  <c r="A15" i="7"/>
  <c r="A16" i="7"/>
  <c r="B15" i="7"/>
  <c r="B14" i="7"/>
  <c r="D6" i="5"/>
  <c r="E6" i="5" s="1"/>
  <c r="C5" i="5"/>
  <c r="A14" i="7"/>
  <c r="B6" i="5"/>
  <c r="D5" i="5"/>
  <c r="E5" i="5" s="1"/>
  <c r="B5" i="5"/>
  <c r="D4" i="5"/>
  <c r="E4" i="5" s="1"/>
  <c r="B4" i="5"/>
  <c r="J9" i="1"/>
  <c r="J8" i="1"/>
  <c r="J7" i="1"/>
  <c r="J6" i="1"/>
  <c r="J5" i="1"/>
  <c r="C4" i="5" s="1"/>
  <c r="J4" i="1"/>
  <c r="J3" i="1"/>
  <c r="C6" i="5"/>
  <c r="B16" i="7" s="1"/>
  <c r="B9" i="5" l="1"/>
  <c r="B8" i="5"/>
  <c r="B6" i="6" l="1"/>
</calcChain>
</file>

<file path=xl/sharedStrings.xml><?xml version="1.0" encoding="utf-8"?>
<sst xmlns="http://schemas.openxmlformats.org/spreadsheetml/2006/main" count="101" uniqueCount="63">
  <si>
    <t>Tarih</t>
  </si>
  <si>
    <t>Adet</t>
  </si>
  <si>
    <t>Birim Fiyat</t>
  </si>
  <si>
    <t>Tutar (Adet x Birim Fiyat)</t>
  </si>
  <si>
    <t>2026-03-01</t>
  </si>
  <si>
    <t>Tayt</t>
  </si>
  <si>
    <t>Mehmet Kaya</t>
  </si>
  <si>
    <t>Ankara</t>
  </si>
  <si>
    <t>Erkek Giyim</t>
  </si>
  <si>
    <t>T-Shirt</t>
  </si>
  <si>
    <t>2026-03-02</t>
  </si>
  <si>
    <t>Zeynep Demir</t>
  </si>
  <si>
    <t>Ali Can</t>
  </si>
  <si>
    <t>Aksesuar</t>
  </si>
  <si>
    <t>2026-03-03</t>
  </si>
  <si>
    <t>Elif Arslan</t>
  </si>
  <si>
    <t>Bursa</t>
  </si>
  <si>
    <t>Hoodie</t>
  </si>
  <si>
    <t>2026-03-04</t>
  </si>
  <si>
    <t>Antalya</t>
  </si>
  <si>
    <t>TOPLAM</t>
  </si>
  <si>
    <t>Tutar (TL)</t>
  </si>
  <si>
    <t>Analiz ve Yorum</t>
  </si>
  <si>
    <t>Sipariş No</t>
  </si>
  <si>
    <t>Müşteri Adı</t>
  </si>
  <si>
    <t>Şehir</t>
  </si>
  <si>
    <t>Ürün Kategorisi</t>
  </si>
  <si>
    <t>Ürün Adı</t>
  </si>
  <si>
    <t>Sipariş Durumu</t>
  </si>
  <si>
    <t>Ayşe Yılmaz</t>
  </si>
  <si>
    <t>İstanbul</t>
  </si>
  <si>
    <t>Kadın Giyim</t>
  </si>
  <si>
    <t>Tamamlandı</t>
  </si>
  <si>
    <t>İzmir</t>
  </si>
  <si>
    <t>Spor Sütyeni</t>
  </si>
  <si>
    <t>İade</t>
  </si>
  <si>
    <t>Şapka</t>
  </si>
  <si>
    <t>Burak Yıldız</t>
  </si>
  <si>
    <t>Ceren Şahin</t>
  </si>
  <si>
    <t>Emre Aydın</t>
  </si>
  <si>
    <t>Çanta</t>
  </si>
  <si>
    <t>Açıklama</t>
  </si>
  <si>
    <t>Toplam Satış Tutarı (TL)</t>
  </si>
  <si>
    <t>En Çok Satış Yapılan Şehir:</t>
  </si>
  <si>
    <t>ÜRÜN KATEGORİSİ BAZINDA ANALİZ</t>
  </si>
  <si>
    <t>Satılan Adet</t>
  </si>
  <si>
    <t>İade Adedi</t>
  </si>
  <si>
    <t>İade Oranı</t>
  </si>
  <si>
    <t>En Çok Satılan Kategori (Tutar Bazlı):</t>
  </si>
  <si>
    <t>En Çok Satılan Kategori (Adet Bazlı):</t>
  </si>
  <si>
    <t>Toplam Satış Tutarı (İade Dahil)</t>
  </si>
  <si>
    <t>İade Edilen Siparişler Tutarı</t>
  </si>
  <si>
    <t>Kategori Bazında Satış Grafiği</t>
  </si>
  <si>
    <t>Satır Etiketleri</t>
  </si>
  <si>
    <t>Genel Toplam</t>
  </si>
  <si>
    <t>Toplam Tutar (Adet x Birim Fiyat)</t>
  </si>
  <si>
    <t>Toplam Birim Fiyat</t>
  </si>
  <si>
    <t>Toplam Adet</t>
  </si>
  <si>
    <t>Toplam Ciro (İade Siparişler Hariç)</t>
  </si>
  <si>
    <t>Toplam Ciro (İade Haric)</t>
  </si>
  <si>
    <t>Bu durum, ilgili ürünlerde ölçü/beden veya ürün fotoğraflarında tutarsızlık yaşandığına işaret etmektedir.</t>
  </si>
  <si>
    <t>Çözüm Önerisi: E-ticaret platformunda bu ürünlerin sayfasındaki beden ölçü tablolarının ve ürün fotoğraflarının daha detaylı (tutarlı) hale getirilmesi, iade oranlarını optimize edecektir.</t>
  </si>
  <si>
    <t>Veri setindeki siparişler incelendiğinde, iptal/iade edilen işlemlerin %100'ünün 'Kadın Giyim' kategorisine ait (Spor Sütyeni ve Tayt) olduğu tespit edilmiştir. Kadin Giyim, en fazla siparis satirina sahip kategoridir. Ancak sipariş iade oranı yüksek seviyededir (5 siparişin 2'si iade). Bu oran belirgin şekilde diğer kategorilerin üzerindedir ve incelenmesi gerekmektedir.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</si>
</sst>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9" x14ac:knownFonts="1">
    <font>
      <sz val="11"/>
      <color theme="1"/>
      <name val="Calibri"/>
      <family val="2"/>
      <charset val="1"/>
    </font>
    <font>
      <sz val="11"/>
      <color theme="1"/>
      <name val="Calibri"/>
      <family val="2"/>
      <charset val="162"/>
      <scheme val="minor"/>
    </font>
    <font>
      <b/>
      <sz val="11"/>
      <color rgb="FFFFFFFF"/>
      <name val="Arial"/>
      <charset val="1"/>
    </font>
    <font>
      <sz val="11"/>
      <name val="Arial"/>
      <charset val="1"/>
    </font>
    <font>
      <b/>
      <sz val="11"/>
      <name val="Arial"/>
      <charset val="1"/>
    </font>
    <font>
      <b/>
      <sz val="14"/>
      <color rgb="FF1F4E78"/>
      <name val="Arial"/>
      <charset val="1"/>
    </font>
    <font>
      <i/>
      <sz val="9"/>
      <color rgb="FF808080"/>
      <name val="Arial"/>
      <charset val="1"/>
    </font>
    <font>
      <sz val="11"/>
      <color theme="0"/>
      <name val="Calibri"/>
      <family val="2"/>
      <charset val="162"/>
      <scheme val="minor"/>
    </font>
    <font>
      <sz val="11"/>
      <name val="Calibri"/>
      <family val="2"/>
      <charset val="162"/>
      <scheme val="minor"/>
    </font>
  </fonts>
  <fills count="7">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theme="5"/>
      </patternFill>
    </fill>
    <fill>
      <patternFill patternType="solid">
        <fgColor theme="5" tint="0.59999389629810485"/>
        <bgColor indexed="65"/>
      </patternFill>
    </fill>
    <fill>
      <patternFill patternType="solid">
        <fgColor theme="6" tint="0.79998168889431442"/>
        <bgColor indexed="65"/>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4">
    <xf numFmtId="0" fontId="0" fillId="0" borderId="0"/>
    <xf numFmtId="0" fontId="7"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22">
    <xf numFmtId="0" fontId="0" fillId="0" borderId="0" xfId="0"/>
    <xf numFmtId="0" fontId="3" fillId="0" borderId="0" xfId="0" applyFont="1" applyAlignment="1">
      <alignment vertical="top" wrapText="1"/>
    </xf>
    <xf numFmtId="0" fontId="2" fillId="2" borderId="1" xfId="0" applyFont="1" applyFill="1" applyBorder="1" applyAlignment="1">
      <alignment horizontal="center" vertical="center"/>
    </xf>
    <xf numFmtId="0" fontId="3" fillId="0" borderId="1" xfId="0" applyFont="1" applyBorder="1"/>
    <xf numFmtId="3" fontId="3" fillId="0" borderId="1" xfId="0" applyNumberFormat="1" applyFont="1" applyBorder="1"/>
    <xf numFmtId="0" fontId="4" fillId="0" borderId="0" xfId="0" applyFont="1"/>
    <xf numFmtId="3" fontId="4" fillId="3" borderId="0" xfId="0" applyNumberFormat="1" applyFont="1" applyFill="1"/>
    <xf numFmtId="0" fontId="5" fillId="0" borderId="0" xfId="0" applyFont="1"/>
    <xf numFmtId="0" fontId="3" fillId="0" borderId="0" xfId="0" applyFont="1"/>
    <xf numFmtId="0" fontId="6" fillId="0" borderId="0" xfId="0" applyFont="1"/>
    <xf numFmtId="0" fontId="4" fillId="3" borderId="0" xfId="0" applyFont="1" applyFill="1"/>
    <xf numFmtId="166" fontId="3" fillId="0" borderId="1" xfId="0" applyNumberFormat="1" applyFont="1" applyBorder="1"/>
    <xf numFmtId="3" fontId="3" fillId="0" borderId="0" xfId="0" applyNumberFormat="1" applyFont="1"/>
    <xf numFmtId="3" fontId="6" fillId="0" borderId="0" xfId="0" applyNumberFormat="1" applyFont="1"/>
    <xf numFmtId="0" fontId="7" fillId="4" borderId="0" xfId="1"/>
    <xf numFmtId="0" fontId="1" fillId="5" borderId="0" xfId="2"/>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8" fillId="0" borderId="0" xfId="0" applyFont="1" applyAlignment="1">
      <alignment vertical="top" wrapText="1"/>
    </xf>
    <xf numFmtId="0" fontId="1" fillId="6" borderId="0" xfId="3" applyAlignment="1">
      <alignment vertical="center"/>
    </xf>
  </cellXfs>
  <cellStyles count="4">
    <cellStyle name="%20 - Vurgu3" xfId="3" builtinId="38"/>
    <cellStyle name="%40 - Vurgu2" xfId="2" builtinId="35"/>
    <cellStyle name="Normal" xfId="0" builtinId="0"/>
    <cellStyle name="Vurgu2" xfId="1" builtinId="3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title>
      <c:tx>
        <c:rich>
          <a:bodyPr rot="0"/>
          <a:lstStyle/>
          <a:p>
            <a:pPr>
              <a:defRPr sz="1800" b="1" strike="noStrike" spc="-1">
                <a:solidFill>
                  <a:srgbClr val="000000"/>
                </a:solidFill>
                <a:latin typeface="Calibri"/>
              </a:defRPr>
            </a:pPr>
            <a:r>
              <a:rPr lang="tr-TR" sz="1800" b="1" strike="noStrike" spc="-1">
                <a:solidFill>
                  <a:srgbClr val="000000"/>
                </a:solidFill>
                <a:latin typeface="Calibri"/>
              </a:rPr>
              <a:t>Kategoriye Göre Toplam Satış Tutarı</a:t>
            </a:r>
          </a:p>
        </c:rich>
      </c:tx>
      <c:overlay val="0"/>
      <c:spPr>
        <a:noFill/>
        <a:ln w="0">
          <a:noFill/>
        </a:ln>
      </c:spPr>
    </c:title>
    <c:autoTitleDeleted val="0"/>
    <c:plotArea>
      <c:layout/>
      <c:barChart>
        <c:barDir val="col"/>
        <c:grouping val="clustered"/>
        <c:varyColors val="0"/>
        <c:ser>
          <c:idx val="0"/>
          <c:order val="0"/>
          <c:tx>
            <c:strRef>
              <c:f>Grafik!$B$13</c:f>
              <c:strCache>
                <c:ptCount val="1"/>
                <c:pt idx="0">
                  <c:v>Toplam Satış Tutarı (TL)</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tr-T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Grafik!$A$14:$A$16</c:f>
              <c:strCache>
                <c:ptCount val="3"/>
                <c:pt idx="0">
                  <c:v>Aksesuar</c:v>
                </c:pt>
                <c:pt idx="1">
                  <c:v>Erkek Giyim</c:v>
                </c:pt>
                <c:pt idx="2">
                  <c:v>Kadın Giyim</c:v>
                </c:pt>
              </c:strCache>
            </c:strRef>
          </c:cat>
          <c:val>
            <c:numRef>
              <c:f>Grafik!$B$14:$B$16</c:f>
              <c:numCache>
                <c:formatCode>General</c:formatCode>
                <c:ptCount val="3"/>
                <c:pt idx="0">
                  <c:v>850</c:v>
                </c:pt>
                <c:pt idx="1">
                  <c:v>1300</c:v>
                </c:pt>
                <c:pt idx="2">
                  <c:v>1200</c:v>
                </c:pt>
              </c:numCache>
            </c:numRef>
          </c:val>
          <c:extLst>
            <c:ext xmlns:c16="http://schemas.microsoft.com/office/drawing/2014/chart" uri="{C3380CC4-5D6E-409C-BE32-E72D297353CC}">
              <c16:uniqueId val="{00000000-E6C1-41EE-B8C5-0FDD23F0CC38}"/>
            </c:ext>
          </c:extLst>
        </c:ser>
        <c:dLbls>
          <c:showLegendKey val="0"/>
          <c:showVal val="0"/>
          <c:showCatName val="0"/>
          <c:showSerName val="0"/>
          <c:showPercent val="0"/>
          <c:showBubbleSize val="0"/>
        </c:dLbls>
        <c:gapWidth val="150"/>
        <c:axId val="86688471"/>
        <c:axId val="52708468"/>
      </c:barChart>
      <c:catAx>
        <c:axId val="86688471"/>
        <c:scaling>
          <c:orientation val="minMax"/>
        </c:scaling>
        <c:delete val="0"/>
        <c:axPos val="b"/>
        <c:title>
          <c:tx>
            <c:rich>
              <a:bodyPr rot="0"/>
              <a:lstStyle/>
              <a:p>
                <a:pPr>
                  <a:defRPr sz="1000" b="1" strike="noStrike" spc="-1">
                    <a:solidFill>
                      <a:srgbClr val="000000"/>
                    </a:solidFill>
                    <a:latin typeface="Calibri"/>
                  </a:defRPr>
                </a:pPr>
                <a:r>
                  <a:rPr lang="tr-TR" sz="1000" b="1" strike="noStrike" spc="-1">
                    <a:solidFill>
                      <a:srgbClr val="000000"/>
                    </a:solidFill>
                    <a:latin typeface="Calibri"/>
                  </a:rPr>
                  <a:t>Ürün Kategorisi</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tr-TR"/>
          </a:p>
        </c:txPr>
        <c:crossAx val="52708468"/>
        <c:crosses val="autoZero"/>
        <c:auto val="1"/>
        <c:lblAlgn val="ctr"/>
        <c:lblOffset val="100"/>
        <c:noMultiLvlLbl val="0"/>
      </c:catAx>
      <c:valAx>
        <c:axId val="527084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tr-TR" sz="1000" b="1" strike="noStrike" spc="-1">
                    <a:solidFill>
                      <a:srgbClr val="000000"/>
                    </a:solidFill>
                    <a:latin typeface="Calibri"/>
                  </a:rPr>
                  <a:t>Tutar (TL)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tr-TR"/>
          </a:p>
        </c:txPr>
        <c:crossAx val="8668847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tr-TR"/>
        </a:p>
      </c:txPr>
    </c:legend>
    <c:plotVisOnly val="1"/>
    <c:dispBlanksAs val="gap"/>
    <c:showDLblsOverMax val="1"/>
  </c:chart>
  <c:spPr>
    <a:solidFill>
      <a:schemeClr val="accent5">
        <a:lumMod val="20000"/>
        <a:lumOff val="80000"/>
      </a:schemeClr>
    </a:solidFill>
    <a:ln w="9360">
      <a:solidFill>
        <a:schemeClr val="bg2">
          <a:lumMod val="75000"/>
        </a:schemeClr>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6</xdr:row>
      <xdr:rowOff>17685</xdr:rowOff>
    </xdr:from>
    <xdr:to>
      <xdr:col>12</xdr:col>
      <xdr:colOff>265485</xdr:colOff>
      <xdr:row>22</xdr:row>
      <xdr:rowOff>171165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0.707395370373" createdVersion="8" refreshedVersion="8" minRefreshableVersion="3" recordCount="8" xr:uid="{606EB752-8060-4870-A33E-E04D3724B4C8}">
  <cacheSource type="worksheet">
    <worksheetSource ref="C1:J9" sheet="Sipariş Verisi"/>
  </cacheSource>
  <cacheFields count="8">
    <cacheField name="Müşteri Adı" numFmtId="0">
      <sharedItems count="8">
        <s v="Ayşe Yılmaz"/>
        <s v="Mehmet Kaya"/>
        <s v="Zeynep Demir"/>
        <s v="Ali Can"/>
        <s v="Elif Arslan"/>
        <s v="Burak Yıldız"/>
        <s v="Ceren Şahin"/>
        <s v="Emre Aydın"/>
      </sharedItems>
    </cacheField>
    <cacheField name="Şehir" numFmtId="0">
      <sharedItems count="5">
        <s v="İstanbul"/>
        <s v="Ankara"/>
        <s v="İzmir"/>
        <s v="Bursa"/>
        <s v="Antalya"/>
      </sharedItems>
    </cacheField>
    <cacheField name="Ürün Kategorisi" numFmtId="0">
      <sharedItems count="3">
        <s v="Kadın Giyim"/>
        <s v="Erkek Giyim"/>
        <s v="Aksesuar"/>
      </sharedItems>
    </cacheField>
    <cacheField name="Ürün Adı" numFmtId="0">
      <sharedItems count="6">
        <s v="Tayt"/>
        <s v="T-Shirt"/>
        <s v="Spor Sütyeni"/>
        <s v="Şapka"/>
        <s v="Hoodie"/>
        <s v="Çanta"/>
      </sharedItems>
    </cacheField>
    <cacheField name="Adet" numFmtId="0">
      <sharedItems containsSemiMixedTypes="0" containsString="0" containsNumber="1" containsInteger="1" minValue="1" maxValue="3" count="3">
        <n v="2"/>
        <n v="1"/>
        <n v="3"/>
      </sharedItems>
    </cacheField>
    <cacheField name="Birim Fiyat" numFmtId="0">
      <sharedItems containsSemiMixedTypes="0" containsString="0" containsNumber="1" containsInteger="1" minValue="150" maxValue="500" count="6">
        <n v="250"/>
        <n v="300"/>
        <n v="200"/>
        <n v="150"/>
        <n v="500"/>
        <n v="400"/>
      </sharedItems>
    </cacheField>
    <cacheField name="Sipariş Durumu" numFmtId="0">
      <sharedItems count="2">
        <s v="Tamamlandı"/>
        <s v="İade"/>
      </sharedItems>
    </cacheField>
    <cacheField name="Tutar (Adet x Birim Fiyat)" numFmtId="0">
      <sharedItems containsSemiMixedTypes="0" containsString="0" containsNumber="1" containsInteger="1" minValue="200" maxValue="1000" count="7">
        <n v="500"/>
        <n v="300"/>
        <n v="200"/>
        <n v="450"/>
        <n v="250"/>
        <n v="1000"/>
        <n v="4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0.732095601852" createdVersion="8" refreshedVersion="8" minRefreshableVersion="3" recordCount="9" xr:uid="{6F2B0308-2E24-40A3-A0A5-B4F20F59BB8B}">
  <cacheSource type="worksheet">
    <worksheetSource ref="A1:J10" sheet="Sipariş Verisi"/>
  </cacheSource>
  <cacheFields count="10">
    <cacheField name="Sipariş No" numFmtId="0">
      <sharedItems containsString="0" containsBlank="1" containsNumber="1" containsInteger="1" minValue="1001" maxValue="1008"/>
    </cacheField>
    <cacheField name="Tarih" numFmtId="0">
      <sharedItems containsBlank="1"/>
    </cacheField>
    <cacheField name="Müşteri Adı" numFmtId="0">
      <sharedItems containsBlank="1"/>
    </cacheField>
    <cacheField name="Şehir" numFmtId="0">
      <sharedItems containsBlank="1" count="6">
        <s v="İstanbul"/>
        <s v="Ankara"/>
        <s v="İzmir"/>
        <s v="Bursa"/>
        <s v="Antalya"/>
        <m/>
      </sharedItems>
    </cacheField>
    <cacheField name="Ürün Kategorisi" numFmtId="0">
      <sharedItems containsBlank="1"/>
    </cacheField>
    <cacheField name="Ürün Adı" numFmtId="0">
      <sharedItems containsBlank="1"/>
    </cacheField>
    <cacheField name="Adet" numFmtId="0">
      <sharedItems containsString="0" containsBlank="1" containsNumber="1" containsInteger="1" minValue="1" maxValue="3" count="4">
        <n v="2"/>
        <n v="1"/>
        <n v="3"/>
        <m/>
      </sharedItems>
    </cacheField>
    <cacheField name="Birim Fiyat" numFmtId="0">
      <sharedItems containsString="0" containsBlank="1" containsNumber="1" containsInteger="1" minValue="150" maxValue="500"/>
    </cacheField>
    <cacheField name="Sipariş Durumu" numFmtId="0">
      <sharedItems/>
    </cacheField>
    <cacheField name="Tutar (Adet x Birim Fiyat)" numFmtId="0">
      <sharedItems containsSemiMixedTypes="0" containsString="0" containsNumber="1" containsInteger="1" minValue="200" maxValue="33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x v="0"/>
    <x v="0"/>
    <x v="0"/>
    <x v="0"/>
  </r>
  <r>
    <x v="1"/>
    <x v="1"/>
    <x v="1"/>
    <x v="1"/>
    <x v="1"/>
    <x v="1"/>
    <x v="0"/>
    <x v="1"/>
  </r>
  <r>
    <x v="2"/>
    <x v="2"/>
    <x v="0"/>
    <x v="2"/>
    <x v="1"/>
    <x v="2"/>
    <x v="1"/>
    <x v="2"/>
  </r>
  <r>
    <x v="3"/>
    <x v="0"/>
    <x v="2"/>
    <x v="3"/>
    <x v="2"/>
    <x v="3"/>
    <x v="0"/>
    <x v="3"/>
  </r>
  <r>
    <x v="4"/>
    <x v="3"/>
    <x v="0"/>
    <x v="0"/>
    <x v="1"/>
    <x v="0"/>
    <x v="0"/>
    <x v="4"/>
  </r>
  <r>
    <x v="5"/>
    <x v="0"/>
    <x v="1"/>
    <x v="4"/>
    <x v="0"/>
    <x v="4"/>
    <x v="0"/>
    <x v="5"/>
  </r>
  <r>
    <x v="6"/>
    <x v="2"/>
    <x v="0"/>
    <x v="0"/>
    <x v="1"/>
    <x v="0"/>
    <x v="1"/>
    <x v="4"/>
  </r>
  <r>
    <x v="7"/>
    <x v="4"/>
    <x v="2"/>
    <x v="5"/>
    <x v="1"/>
    <x v="5"/>
    <x v="0"/>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01"/>
    <s v="2026-03-01"/>
    <s v="Ayşe Yılmaz"/>
    <x v="0"/>
    <s v="Kadın Giyim"/>
    <s v="Tayt"/>
    <x v="0"/>
    <n v="250"/>
    <s v="Tamamlandı"/>
    <n v="500"/>
  </r>
  <r>
    <n v="1002"/>
    <s v="2026-03-01"/>
    <s v="Mehmet Kaya"/>
    <x v="1"/>
    <s v="Erkek Giyim"/>
    <s v="T-Shirt"/>
    <x v="1"/>
    <n v="300"/>
    <s v="Tamamlandı"/>
    <n v="300"/>
  </r>
  <r>
    <n v="1003"/>
    <s v="2026-03-02"/>
    <s v="Zeynep Demir"/>
    <x v="2"/>
    <s v="Kadın Giyim"/>
    <s v="Spor Sütyeni"/>
    <x v="1"/>
    <n v="200"/>
    <s v="İade"/>
    <n v="200"/>
  </r>
  <r>
    <n v="1004"/>
    <s v="2026-03-02"/>
    <s v="Ali Can"/>
    <x v="0"/>
    <s v="Aksesuar"/>
    <s v="Şapka"/>
    <x v="2"/>
    <n v="150"/>
    <s v="Tamamlandı"/>
    <n v="450"/>
  </r>
  <r>
    <n v="1005"/>
    <s v="2026-03-03"/>
    <s v="Elif Arslan"/>
    <x v="3"/>
    <s v="Kadın Giyim"/>
    <s v="Tayt"/>
    <x v="1"/>
    <n v="250"/>
    <s v="Tamamlandı"/>
    <n v="250"/>
  </r>
  <r>
    <n v="1006"/>
    <s v="2026-03-03"/>
    <s v="Burak Yıldız"/>
    <x v="0"/>
    <s v="Erkek Giyim"/>
    <s v="Hoodie"/>
    <x v="0"/>
    <n v="500"/>
    <s v="Tamamlandı"/>
    <n v="1000"/>
  </r>
  <r>
    <n v="1007"/>
    <s v="2026-03-04"/>
    <s v="Ceren Şahin"/>
    <x v="2"/>
    <s v="Kadın Giyim"/>
    <s v="Tayt"/>
    <x v="1"/>
    <n v="250"/>
    <s v="İade"/>
    <n v="250"/>
  </r>
  <r>
    <n v="1008"/>
    <s v="2026-03-04"/>
    <s v="Emre Aydın"/>
    <x v="4"/>
    <s v="Aksesuar"/>
    <s v="Çanta"/>
    <x v="1"/>
    <n v="400"/>
    <s v="Tamamlandı"/>
    <n v="400"/>
  </r>
  <r>
    <m/>
    <m/>
    <m/>
    <x v="5"/>
    <m/>
    <m/>
    <x v="3"/>
    <m/>
    <s v="TOPLAM"/>
    <n v="3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754E2E-4CED-4C1A-836D-2D63742326FF}" name="PivotTable2" cacheId="15"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3:D6" firstHeaderRow="0" firstDataRow="1" firstDataCol="1" rowPageCount="1" colPageCount="1"/>
  <pivotFields count="8">
    <pivotField axis="axisRow" showAll="0">
      <items count="9">
        <item x="3"/>
        <item x="0"/>
        <item x="5"/>
        <item x="6"/>
        <item x="4"/>
        <item x="7"/>
        <item x="1"/>
        <item x="2"/>
        <item t="default"/>
      </items>
    </pivotField>
    <pivotField axis="axisRow" showAll="0">
      <items count="6">
        <item x="1"/>
        <item x="4"/>
        <item x="3"/>
        <item x="0"/>
        <item x="2"/>
        <item t="default"/>
      </items>
    </pivotField>
    <pivotField axis="axisRow" showAll="0">
      <items count="4">
        <item x="2"/>
        <item x="1"/>
        <item x="0"/>
        <item t="default"/>
      </items>
    </pivotField>
    <pivotField axis="axisRow" showAll="0">
      <items count="7">
        <item x="5"/>
        <item x="4"/>
        <item sd="0" x="2"/>
        <item x="3"/>
        <item sd="0" x="0"/>
        <item x="1"/>
        <item t="default"/>
      </items>
    </pivotField>
    <pivotField dataField="1" showAll="0"/>
    <pivotField dataField="1" showAll="0"/>
    <pivotField axis="axisPage" multipleItemSelectionAllowed="1" showAll="0">
      <items count="3">
        <item x="1"/>
        <item h="1" x="0"/>
        <item t="default"/>
      </items>
    </pivotField>
    <pivotField dataField="1" showAll="0">
      <items count="8">
        <item x="2"/>
        <item x="4"/>
        <item x="1"/>
        <item x="6"/>
        <item x="3"/>
        <item x="0"/>
        <item x="5"/>
        <item t="default"/>
      </items>
    </pivotField>
  </pivotFields>
  <rowFields count="4">
    <field x="3"/>
    <field x="2"/>
    <field x="1"/>
    <field x="0"/>
  </rowFields>
  <rowItems count="3">
    <i>
      <x v="2"/>
    </i>
    <i>
      <x v="4"/>
    </i>
    <i t="grand">
      <x/>
    </i>
  </rowItems>
  <colFields count="1">
    <field x="-2"/>
  </colFields>
  <colItems count="3">
    <i>
      <x/>
    </i>
    <i i="1">
      <x v="1"/>
    </i>
    <i i="2">
      <x v="2"/>
    </i>
  </colItems>
  <pageFields count="1">
    <pageField fld="6" hier="-1"/>
  </pageFields>
  <dataFields count="3">
    <dataField name="Toplam Tutar (Adet x Birim Fiyat)" fld="7" baseField="0" baseItem="0"/>
    <dataField name="Toplam Birim Fiyat" fld="5" baseField="0" baseItem="0"/>
    <dataField name="Toplam Ad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34F25E-29A9-4651-A8EE-A16CE1E0B489}" name="PivotTable6" cacheId="45"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3:B9" firstHeaderRow="1" firstDataRow="1" firstDataCol="1"/>
  <pivotFields count="10">
    <pivotField showAll="0"/>
    <pivotField showAll="0"/>
    <pivotField showAll="0"/>
    <pivotField axis="axisRow" showAll="0">
      <items count="7">
        <item x="1"/>
        <item x="4"/>
        <item x="3"/>
        <item x="0"/>
        <item x="2"/>
        <item h="1" x="5"/>
        <item t="default"/>
      </items>
    </pivotField>
    <pivotField showAll="0"/>
    <pivotField showAll="0"/>
    <pivotField dataField="1" showAll="0">
      <items count="5">
        <item x="1"/>
        <item x="0"/>
        <item x="2"/>
        <item x="3"/>
        <item t="default"/>
      </items>
    </pivotField>
    <pivotField showAll="0"/>
    <pivotField showAll="0"/>
    <pivotField showAll="0"/>
  </pivotFields>
  <rowFields count="1">
    <field x="3"/>
  </rowFields>
  <rowItems count="6">
    <i>
      <x/>
    </i>
    <i>
      <x v="1"/>
    </i>
    <i>
      <x v="2"/>
    </i>
    <i>
      <x v="3"/>
    </i>
    <i>
      <x v="4"/>
    </i>
    <i t="grand">
      <x/>
    </i>
  </rowItems>
  <colItems count="1">
    <i/>
  </colItems>
  <dataFields count="1">
    <dataField name="Toplam Ad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zoomScaleNormal="100" workbookViewId="0">
      <pane ySplit="1" topLeftCell="A2" activePane="bottomLeft" state="frozen"/>
      <selection pane="bottomLeft" activeCell="I12" sqref="I12"/>
    </sheetView>
  </sheetViews>
  <sheetFormatPr defaultColWidth="8.7109375" defaultRowHeight="15" x14ac:dyDescent="0.25"/>
  <cols>
    <col min="1" max="1" width="11.42578125" bestFit="1" customWidth="1"/>
    <col min="2" max="2" width="12" customWidth="1"/>
    <col min="3" max="3" width="16" customWidth="1"/>
    <col min="4" max="4" width="12" customWidth="1"/>
    <col min="5" max="5" width="17.28515625" bestFit="1" customWidth="1"/>
    <col min="6" max="6" width="14" customWidth="1"/>
    <col min="7" max="7" width="7" customWidth="1"/>
    <col min="8" max="8" width="11.5703125" bestFit="1" customWidth="1"/>
    <col min="9" max="9" width="16.7109375" bestFit="1" customWidth="1"/>
    <col min="10" max="10" width="26.42578125" bestFit="1" customWidth="1"/>
  </cols>
  <sheetData>
    <row r="1" spans="1:10" x14ac:dyDescent="0.25">
      <c r="A1" s="2" t="s">
        <v>23</v>
      </c>
      <c r="B1" s="2" t="s">
        <v>0</v>
      </c>
      <c r="C1" s="2" t="s">
        <v>24</v>
      </c>
      <c r="D1" s="2" t="s">
        <v>25</v>
      </c>
      <c r="E1" s="2" t="s">
        <v>26</v>
      </c>
      <c r="F1" s="2" t="s">
        <v>27</v>
      </c>
      <c r="G1" s="2" t="s">
        <v>1</v>
      </c>
      <c r="H1" s="2" t="s">
        <v>2</v>
      </c>
      <c r="I1" s="2" t="s">
        <v>28</v>
      </c>
      <c r="J1" s="2" t="s">
        <v>3</v>
      </c>
    </row>
    <row r="2" spans="1:10" x14ac:dyDescent="0.25">
      <c r="A2">
        <v>1001</v>
      </c>
      <c r="B2" t="s">
        <v>4</v>
      </c>
      <c r="C2" t="s">
        <v>29</v>
      </c>
      <c r="D2" t="s">
        <v>30</v>
      </c>
      <c r="E2" t="s">
        <v>31</v>
      </c>
      <c r="F2" t="s">
        <v>5</v>
      </c>
      <c r="G2">
        <v>2</v>
      </c>
      <c r="H2">
        <v>250</v>
      </c>
      <c r="I2" t="s">
        <v>32</v>
      </c>
      <c r="J2">
        <f>G2*H2</f>
        <v>500</v>
      </c>
    </row>
    <row r="3" spans="1:10" x14ac:dyDescent="0.25">
      <c r="A3">
        <v>1002</v>
      </c>
      <c r="B3" t="s">
        <v>4</v>
      </c>
      <c r="C3" t="s">
        <v>6</v>
      </c>
      <c r="D3" t="s">
        <v>7</v>
      </c>
      <c r="E3" t="s">
        <v>8</v>
      </c>
      <c r="F3" t="s">
        <v>9</v>
      </c>
      <c r="G3">
        <v>1</v>
      </c>
      <c r="H3">
        <v>300</v>
      </c>
      <c r="I3" t="s">
        <v>32</v>
      </c>
      <c r="J3">
        <f t="shared" ref="J2:J9" si="0">G3*H3</f>
        <v>300</v>
      </c>
    </row>
    <row r="4" spans="1:10" x14ac:dyDescent="0.25">
      <c r="A4">
        <v>1003</v>
      </c>
      <c r="B4" t="s">
        <v>10</v>
      </c>
      <c r="C4" t="s">
        <v>11</v>
      </c>
      <c r="D4" t="s">
        <v>33</v>
      </c>
      <c r="E4" t="s">
        <v>31</v>
      </c>
      <c r="F4" t="s">
        <v>34</v>
      </c>
      <c r="G4">
        <v>1</v>
      </c>
      <c r="H4">
        <v>200</v>
      </c>
      <c r="I4" t="s">
        <v>35</v>
      </c>
      <c r="J4">
        <f t="shared" si="0"/>
        <v>200</v>
      </c>
    </row>
    <row r="5" spans="1:10" x14ac:dyDescent="0.25">
      <c r="A5">
        <v>1004</v>
      </c>
      <c r="B5" t="s">
        <v>10</v>
      </c>
      <c r="C5" t="s">
        <v>12</v>
      </c>
      <c r="D5" t="s">
        <v>30</v>
      </c>
      <c r="E5" t="s">
        <v>13</v>
      </c>
      <c r="F5" t="s">
        <v>36</v>
      </c>
      <c r="G5">
        <v>3</v>
      </c>
      <c r="H5">
        <v>150</v>
      </c>
      <c r="I5" t="s">
        <v>32</v>
      </c>
      <c r="J5">
        <f t="shared" si="0"/>
        <v>450</v>
      </c>
    </row>
    <row r="6" spans="1:10" x14ac:dyDescent="0.25">
      <c r="A6">
        <v>1005</v>
      </c>
      <c r="B6" t="s">
        <v>14</v>
      </c>
      <c r="C6" t="s">
        <v>15</v>
      </c>
      <c r="D6" t="s">
        <v>16</v>
      </c>
      <c r="E6" t="s">
        <v>31</v>
      </c>
      <c r="F6" t="s">
        <v>5</v>
      </c>
      <c r="G6">
        <v>1</v>
      </c>
      <c r="H6">
        <v>250</v>
      </c>
      <c r="I6" t="s">
        <v>32</v>
      </c>
      <c r="J6">
        <f t="shared" si="0"/>
        <v>250</v>
      </c>
    </row>
    <row r="7" spans="1:10" x14ac:dyDescent="0.25">
      <c r="A7">
        <v>1006</v>
      </c>
      <c r="B7" t="s">
        <v>14</v>
      </c>
      <c r="C7" t="s">
        <v>37</v>
      </c>
      <c r="D7" t="s">
        <v>30</v>
      </c>
      <c r="E7" t="s">
        <v>8</v>
      </c>
      <c r="F7" t="s">
        <v>17</v>
      </c>
      <c r="G7">
        <v>2</v>
      </c>
      <c r="H7">
        <v>500</v>
      </c>
      <c r="I7" t="s">
        <v>32</v>
      </c>
      <c r="J7">
        <f t="shared" si="0"/>
        <v>1000</v>
      </c>
    </row>
    <row r="8" spans="1:10" x14ac:dyDescent="0.25">
      <c r="A8">
        <v>1007</v>
      </c>
      <c r="B8" t="s">
        <v>18</v>
      </c>
      <c r="C8" t="s">
        <v>38</v>
      </c>
      <c r="D8" t="s">
        <v>33</v>
      </c>
      <c r="E8" t="s">
        <v>31</v>
      </c>
      <c r="F8" t="s">
        <v>5</v>
      </c>
      <c r="G8">
        <v>1</v>
      </c>
      <c r="H8">
        <v>250</v>
      </c>
      <c r="I8" t="s">
        <v>35</v>
      </c>
      <c r="J8">
        <f t="shared" si="0"/>
        <v>250</v>
      </c>
    </row>
    <row r="9" spans="1:10" x14ac:dyDescent="0.25">
      <c r="A9">
        <v>1008</v>
      </c>
      <c r="B9" t="s">
        <v>18</v>
      </c>
      <c r="C9" t="s">
        <v>39</v>
      </c>
      <c r="D9" t="s">
        <v>19</v>
      </c>
      <c r="E9" t="s">
        <v>13</v>
      </c>
      <c r="F9" t="s">
        <v>40</v>
      </c>
      <c r="G9">
        <v>1</v>
      </c>
      <c r="H9">
        <v>400</v>
      </c>
      <c r="I9" t="s">
        <v>32</v>
      </c>
      <c r="J9">
        <f t="shared" si="0"/>
        <v>400</v>
      </c>
    </row>
    <row r="10" spans="1:10" x14ac:dyDescent="0.25">
      <c r="I10" s="14" t="s">
        <v>20</v>
      </c>
      <c r="J10" s="15">
        <f>SUM(J2:J9)</f>
        <v>3350</v>
      </c>
    </row>
  </sheetData>
  <autoFilter ref="A1:J1"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2723-8C35-4723-B7E0-C23D96E65E22}">
  <dimension ref="A1:D6"/>
  <sheetViews>
    <sheetView workbookViewId="0">
      <selection activeCell="G23" sqref="G23"/>
    </sheetView>
  </sheetViews>
  <sheetFormatPr defaultRowHeight="15" x14ac:dyDescent="0.25"/>
  <cols>
    <col min="1" max="1" width="16" bestFit="1" customWidth="1"/>
    <col min="2" max="2" width="30.7109375" bestFit="1" customWidth="1"/>
    <col min="3" max="3" width="17.7109375" bestFit="1" customWidth="1"/>
    <col min="4" max="4" width="12.28515625" bestFit="1" customWidth="1"/>
  </cols>
  <sheetData>
    <row r="1" spans="1:4" x14ac:dyDescent="0.25">
      <c r="A1" s="16" t="s">
        <v>28</v>
      </c>
      <c r="B1" t="s">
        <v>35</v>
      </c>
    </row>
    <row r="3" spans="1:4" x14ac:dyDescent="0.25">
      <c r="A3" s="16" t="s">
        <v>53</v>
      </c>
      <c r="B3" t="s">
        <v>55</v>
      </c>
      <c r="C3" t="s">
        <v>56</v>
      </c>
      <c r="D3" t="s">
        <v>57</v>
      </c>
    </row>
    <row r="4" spans="1:4" x14ac:dyDescent="0.25">
      <c r="A4" s="17" t="s">
        <v>34</v>
      </c>
      <c r="B4" s="18">
        <v>200</v>
      </c>
      <c r="C4" s="18">
        <v>200</v>
      </c>
      <c r="D4" s="18">
        <v>1</v>
      </c>
    </row>
    <row r="5" spans="1:4" x14ac:dyDescent="0.25">
      <c r="A5" s="17" t="s">
        <v>5</v>
      </c>
      <c r="B5" s="18">
        <v>250</v>
      </c>
      <c r="C5" s="18">
        <v>250</v>
      </c>
      <c r="D5" s="18">
        <v>1</v>
      </c>
    </row>
    <row r="6" spans="1:4" x14ac:dyDescent="0.25">
      <c r="A6" s="17" t="s">
        <v>54</v>
      </c>
      <c r="B6" s="18">
        <v>450</v>
      </c>
      <c r="C6" s="18">
        <v>450</v>
      </c>
      <c r="D6" s="18">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BD21-5198-41F6-8C96-50904018E389}">
  <dimension ref="A3:B13"/>
  <sheetViews>
    <sheetView workbookViewId="0">
      <selection activeCell="I14" sqref="I14"/>
    </sheetView>
  </sheetViews>
  <sheetFormatPr defaultRowHeight="15" x14ac:dyDescent="0.25"/>
  <cols>
    <col min="1" max="1" width="29" bestFit="1" customWidth="1"/>
    <col min="2" max="2" width="15.28515625" bestFit="1" customWidth="1"/>
    <col min="3" max="4" width="2" bestFit="1" customWidth="1"/>
    <col min="5" max="5" width="13.5703125" bestFit="1" customWidth="1"/>
  </cols>
  <sheetData>
    <row r="3" spans="1:2" x14ac:dyDescent="0.25">
      <c r="A3" s="16" t="s">
        <v>53</v>
      </c>
      <c r="B3" t="s">
        <v>57</v>
      </c>
    </row>
    <row r="4" spans="1:2" x14ac:dyDescent="0.25">
      <c r="A4" s="17" t="s">
        <v>7</v>
      </c>
      <c r="B4" s="18">
        <v>1</v>
      </c>
    </row>
    <row r="5" spans="1:2" x14ac:dyDescent="0.25">
      <c r="A5" s="17" t="s">
        <v>19</v>
      </c>
      <c r="B5" s="18">
        <v>1</v>
      </c>
    </row>
    <row r="6" spans="1:2" x14ac:dyDescent="0.25">
      <c r="A6" s="17" t="s">
        <v>16</v>
      </c>
      <c r="B6" s="18">
        <v>1</v>
      </c>
    </row>
    <row r="7" spans="1:2" x14ac:dyDescent="0.25">
      <c r="A7" s="17" t="s">
        <v>30</v>
      </c>
      <c r="B7" s="18">
        <v>7</v>
      </c>
    </row>
    <row r="8" spans="1:2" x14ac:dyDescent="0.25">
      <c r="A8" s="17" t="s">
        <v>33</v>
      </c>
      <c r="B8" s="18">
        <v>2</v>
      </c>
    </row>
    <row r="9" spans="1:2" x14ac:dyDescent="0.25">
      <c r="A9" s="17" t="s">
        <v>54</v>
      </c>
      <c r="B9" s="18">
        <v>12</v>
      </c>
    </row>
    <row r="12" spans="1:2" x14ac:dyDescent="0.25">
      <c r="A12" s="5" t="s">
        <v>43</v>
      </c>
      <c r="B12" s="10" t="str">
        <f>INDEX(A4:A8,MATCH(MAX(B4:B8),B4:B8,0))</f>
        <v>İstanbul</v>
      </c>
    </row>
    <row r="13" spans="1:2" x14ac:dyDescent="0.25">
      <c r="A1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zoomScaleNormal="100" workbookViewId="0">
      <selection activeCell="D17" sqref="D17"/>
    </sheetView>
  </sheetViews>
  <sheetFormatPr defaultColWidth="8.7109375" defaultRowHeight="15" x14ac:dyDescent="0.25"/>
  <cols>
    <col min="1" max="1" width="50.7109375" bestFit="1" customWidth="1"/>
    <col min="2" max="2" width="13.140625" bestFit="1" customWidth="1"/>
    <col min="3" max="3" width="25.85546875" bestFit="1" customWidth="1"/>
    <col min="4" max="5" width="12" customWidth="1"/>
  </cols>
  <sheetData>
    <row r="1" spans="1:5" ht="18" x14ac:dyDescent="0.25">
      <c r="A1" s="7" t="s">
        <v>44</v>
      </c>
    </row>
    <row r="3" spans="1:5" x14ac:dyDescent="0.25">
      <c r="A3" s="2" t="s">
        <v>26</v>
      </c>
      <c r="B3" s="2" t="s">
        <v>45</v>
      </c>
      <c r="C3" s="2" t="s">
        <v>42</v>
      </c>
      <c r="D3" s="2" t="s">
        <v>46</v>
      </c>
      <c r="E3" s="2" t="s">
        <v>47</v>
      </c>
    </row>
    <row r="4" spans="1:5" x14ac:dyDescent="0.25">
      <c r="A4" s="3" t="s">
        <v>13</v>
      </c>
      <c r="B4" s="4">
        <f>SUMIFS('Sipariş Verisi'!$G$2:$G$9,'Sipariş Verisi'!$E$2:$E$9,A4)</f>
        <v>4</v>
      </c>
      <c r="C4" s="4">
        <f>SUMIFS('Sipariş Verisi'!$J$2:$J$9,'Sipariş Verisi'!$E$2:$E$9,A4)</f>
        <v>850</v>
      </c>
      <c r="D4" s="3">
        <f>COUNTIFS('Sipariş Verisi'!$E$2:$E$9,A4,'Sipariş Verisi'!$I$2:$I$9,"Iade")</f>
        <v>0</v>
      </c>
      <c r="E4" s="11">
        <f>D4/COUNTIF('Sipariş Verisi'!$E$2:$E$9,A4)</f>
        <v>0</v>
      </c>
    </row>
    <row r="5" spans="1:5" x14ac:dyDescent="0.25">
      <c r="A5" s="3" t="s">
        <v>8</v>
      </c>
      <c r="B5" s="4">
        <f>SUMIFS('Sipariş Verisi'!$G$2:$G$9,'Sipariş Verisi'!$E$2:$E$9,A5)</f>
        <v>3</v>
      </c>
      <c r="C5" s="4">
        <f>SUMIFS('Sipariş Verisi'!$J$2:$J$9,'Sipariş Verisi'!$E$2:$E$9,A5)</f>
        <v>1300</v>
      </c>
      <c r="D5" s="3">
        <f>COUNTIFS('Sipariş Verisi'!$E$2:$E$9,A5,'Sipariş Verisi'!$I$2:$I$9,"Iade")</f>
        <v>0</v>
      </c>
      <c r="E5" s="11">
        <f>D5/COUNTIF('Sipariş Verisi'!$E$2:$E$9,A5)</f>
        <v>0</v>
      </c>
    </row>
    <row r="6" spans="1:5" x14ac:dyDescent="0.25">
      <c r="A6" s="3" t="s">
        <v>31</v>
      </c>
      <c r="B6" s="4">
        <f>SUMIFS('Sipariş Verisi'!$G$2:$G$9,'Sipariş Verisi'!$E$2:$E$9,A6)</f>
        <v>5</v>
      </c>
      <c r="C6" s="4">
        <f>SUMIFS('Sipariş Verisi'!$J$2:$J$9,'Sipariş Verisi'!$E$2:$E$9,A6)</f>
        <v>1200</v>
      </c>
      <c r="D6" s="3">
        <f>COUNTIFS('Sipariş Verisi'!$E$2:$E$9,A6,'Sipariş Verisi'!$I$2:$I$9,"İade")</f>
        <v>2</v>
      </c>
      <c r="E6" s="11">
        <f>D6/COUNTIF('Sipariş Verisi'!$E$2:$E$9,A6)</f>
        <v>0.5</v>
      </c>
    </row>
    <row r="8" spans="1:5" x14ac:dyDescent="0.25">
      <c r="A8" s="5" t="s">
        <v>48</v>
      </c>
      <c r="B8" s="10" t="str">
        <f>INDEX(A4:A6,MATCH(MAX(C4:C6),C4:C6,0))</f>
        <v>Erkek Giyim</v>
      </c>
    </row>
    <row r="9" spans="1:5" x14ac:dyDescent="0.25">
      <c r="A9" s="5" t="s">
        <v>49</v>
      </c>
      <c r="B9" s="10" t="str">
        <f>INDEX(A4:A6,MATCH(MAX(B4:B6),B4:B6,0))</f>
        <v>Kadın Giyim</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zoomScaleNormal="100" workbookViewId="0">
      <selection activeCell="A6" sqref="A6"/>
    </sheetView>
  </sheetViews>
  <sheetFormatPr defaultColWidth="8.7109375" defaultRowHeight="15" x14ac:dyDescent="0.25"/>
  <cols>
    <col min="1" max="1" width="35" customWidth="1"/>
    <col min="2" max="2" width="18" customWidth="1"/>
  </cols>
  <sheetData>
    <row r="1" spans="1:2" ht="18" x14ac:dyDescent="0.25">
      <c r="A1" s="7" t="s">
        <v>58</v>
      </c>
    </row>
    <row r="3" spans="1:2" x14ac:dyDescent="0.25">
      <c r="A3" s="2" t="s">
        <v>41</v>
      </c>
      <c r="B3" s="2" t="s">
        <v>21</v>
      </c>
    </row>
    <row r="4" spans="1:2" x14ac:dyDescent="0.25">
      <c r="A4" s="8" t="s">
        <v>50</v>
      </c>
      <c r="B4" s="12">
        <f>SUM('Sipariş Verisi'!J2:J9)</f>
        <v>3350</v>
      </c>
    </row>
    <row r="5" spans="1:2" x14ac:dyDescent="0.25">
      <c r="A5" s="8" t="s">
        <v>51</v>
      </c>
      <c r="B5" s="12">
        <f>SUMIFS('Sipariş Verisi'!J2:J9,'Sipariş Verisi'!I2:I9,"İade")</f>
        <v>450</v>
      </c>
    </row>
    <row r="6" spans="1:2" x14ac:dyDescent="0.25">
      <c r="A6" s="5" t="s">
        <v>59</v>
      </c>
      <c r="B6" s="6">
        <f>B4-B5</f>
        <v>2900</v>
      </c>
    </row>
    <row r="8" spans="1:2" x14ac:dyDescent="0.25">
      <c r="A8" s="9"/>
      <c r="B8" s="1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1:B16"/>
  <sheetViews>
    <sheetView zoomScaleNormal="100" workbookViewId="0">
      <selection activeCell="P25" sqref="P25"/>
    </sheetView>
  </sheetViews>
  <sheetFormatPr defaultColWidth="8.7109375" defaultRowHeight="15" x14ac:dyDescent="0.25"/>
  <cols>
    <col min="1" max="1" width="41.85546875" bestFit="1" customWidth="1"/>
    <col min="2" max="2" width="25.85546875" bestFit="1" customWidth="1"/>
  </cols>
  <sheetData>
    <row r="11" spans="1:2" ht="18" x14ac:dyDescent="0.25">
      <c r="A11" s="7" t="s">
        <v>52</v>
      </c>
    </row>
    <row r="13" spans="1:2" x14ac:dyDescent="0.25">
      <c r="A13" s="2" t="s">
        <v>26</v>
      </c>
      <c r="B13" s="2" t="s">
        <v>42</v>
      </c>
    </row>
    <row r="14" spans="1:2" x14ac:dyDescent="0.25">
      <c r="A14" t="str">
        <f>'Kategori Analizi'!A4</f>
        <v>Aksesuar</v>
      </c>
      <c r="B14">
        <f>'Kategori Analizi'!C4</f>
        <v>850</v>
      </c>
    </row>
    <row r="15" spans="1:2" x14ac:dyDescent="0.25">
      <c r="A15" t="str">
        <f>'Kategori Analizi'!A5</f>
        <v>Erkek Giyim</v>
      </c>
      <c r="B15">
        <f>'Kategori Analizi'!C5</f>
        <v>1300</v>
      </c>
    </row>
    <row r="16" spans="1:2" x14ac:dyDescent="0.25">
      <c r="A16" t="str">
        <f>'Kategori Analizi'!A6</f>
        <v>Kadın Giyim</v>
      </c>
      <c r="B16">
        <f>'Kategori Analizi'!C6</f>
        <v>1200</v>
      </c>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tabSelected="1" zoomScaleNormal="100" workbookViewId="0">
      <selection activeCell="A3" sqref="A3:F3"/>
    </sheetView>
  </sheetViews>
  <sheetFormatPr defaultColWidth="8.7109375" defaultRowHeight="15" x14ac:dyDescent="0.25"/>
  <cols>
    <col min="1" max="1" width="167.5703125" bestFit="1" customWidth="1"/>
    <col min="2" max="6" width="16" customWidth="1"/>
  </cols>
  <sheetData>
    <row r="1" spans="1:6" ht="18" x14ac:dyDescent="0.25">
      <c r="A1" s="7" t="s">
        <v>22</v>
      </c>
    </row>
    <row r="3" spans="1:6" ht="54.75" customHeight="1" x14ac:dyDescent="0.25">
      <c r="A3" s="20" t="s">
        <v>62</v>
      </c>
      <c r="B3" s="1"/>
      <c r="C3" s="1"/>
      <c r="D3" s="1"/>
      <c r="E3" s="1"/>
      <c r="F3" s="1"/>
    </row>
    <row r="4" spans="1:6" x14ac:dyDescent="0.25">
      <c r="A4" s="1"/>
      <c r="B4" s="1"/>
      <c r="C4" s="1"/>
      <c r="D4" s="1"/>
      <c r="E4" s="1"/>
      <c r="F4" s="1"/>
    </row>
    <row r="6" spans="1:6" x14ac:dyDescent="0.25">
      <c r="A6" s="21" t="s">
        <v>60</v>
      </c>
      <c r="D6" s="19"/>
    </row>
    <row r="7" spans="1:6" x14ac:dyDescent="0.25">
      <c r="A7" s="21" t="s">
        <v>61</v>
      </c>
      <c r="D7" s="19"/>
    </row>
  </sheetData>
  <mergeCells count="2">
    <mergeCell ref="A3:F3"/>
    <mergeCell ref="A4:F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Sipariş Verisi</vt:lpstr>
      <vt:lpstr>İade Edilen Siparişler</vt:lpstr>
      <vt:lpstr>En Çok Satış Yapılan Şehir</vt:lpstr>
      <vt:lpstr>Kategori Analizi</vt:lpstr>
      <vt:lpstr>Toplam Ciro</vt:lpstr>
      <vt:lpstr>Grafik</vt:lpstr>
      <vt:lpstr>Yorum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AHMET TUNAHAN ÖZKAN</cp:lastModifiedBy>
  <cp:revision>1</cp:revision>
  <dcterms:created xsi:type="dcterms:W3CDTF">2026-08-06T13:19:23Z</dcterms:created>
  <dcterms:modified xsi:type="dcterms:W3CDTF">2026-08-06T14:46:50Z</dcterms:modified>
  <dc:language>en-US</dc:language>
</cp:coreProperties>
</file>